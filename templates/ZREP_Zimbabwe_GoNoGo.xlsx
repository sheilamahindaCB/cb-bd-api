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crossboundary.sharepoint.com/sites/OutBounds/Power  Infrastructure/1. BD/Claude BD Runs/Zim Run/"/>
    </mc:Choice>
  </mc:AlternateContent>
  <xr:revisionPtr revIDLastSave="0" documentId="11_BEEC94A0E37174388A454A209EE5A0D259262BEA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Go-NoGo Scorecard" sheetId="1" r:id="rId1"/>
  </sheets>
  <definedNames>
    <definedName name="_xlnm.Print_Titles" localSheetId="0">'Go-NoGo Scorecard'!$1:$1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4" i="1" l="1"/>
  <c r="F71" i="1"/>
  <c r="E71" i="1"/>
  <c r="F70" i="1"/>
  <c r="E7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E72" i="1" s="1"/>
  <c r="J51" i="1"/>
  <c r="K50" i="1"/>
  <c r="J50" i="1"/>
  <c r="G46" i="1"/>
  <c r="E46" i="1"/>
  <c r="F45" i="1"/>
  <c r="F44" i="1"/>
  <c r="F43" i="1"/>
  <c r="F42" i="1"/>
  <c r="F41" i="1"/>
  <c r="F40" i="1"/>
  <c r="F39" i="1"/>
  <c r="F38" i="1"/>
  <c r="F37" i="1"/>
  <c r="F36" i="1"/>
  <c r="H32" i="1"/>
  <c r="G32" i="1"/>
  <c r="E32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C17" i="1"/>
  <c r="C14" i="1"/>
  <c r="C15" i="1" s="1"/>
</calcChain>
</file>

<file path=xl/sharedStrings.xml><?xml version="1.0" encoding="utf-8"?>
<sst xmlns="http://schemas.openxmlformats.org/spreadsheetml/2006/main" count="248" uniqueCount="239">
  <si>
    <t>CROSSBOUNDARY  |  BD GO / NO-GO SCORING TOOL</t>
  </si>
  <si>
    <t>A.  BID IDENTIFICATION</t>
  </si>
  <si>
    <t>Bid / Opportunity Name</t>
  </si>
  <si>
    <t>Transaction Advisory Services for the Procurement of 370 MW Solar PV Projects (ZREP-TA)</t>
  </si>
  <si>
    <t>World Bank-funded TA to ZETDC. Solar Park + Substation-Based tenders. EOI deadline 29-May-2026.</t>
  </si>
  <si>
    <t>Client / Implementing Agency</t>
  </si>
  <si>
    <t>Zimbabwe Electricity Transmission and Distribution Company (ZETDC) / Government of Zimbabwe</t>
  </si>
  <si>
    <t>Funder</t>
  </si>
  <si>
    <t>World Bank (IDA/SRMI ESMAP grant TF0D0261) — ZREP-TA Project (P511160)</t>
  </si>
  <si>
    <t>Funder Type (Donor/MDB/Govt/Foundation/Private)</t>
  </si>
  <si>
    <t>MDB</t>
  </si>
  <si>
    <t>Country / Region</t>
  </si>
  <si>
    <t>Zimbabwe / Southern Africa (SADC)</t>
  </si>
  <si>
    <t>Sector / Sub-sector</t>
  </si>
  <si>
    <t>Power &amp; Infrastructure / Utility-scale Solar IPP procurement</t>
  </si>
  <si>
    <t>Procurement Method</t>
  </si>
  <si>
    <t>QCBS (Quality- and Cost-Based Selection)</t>
  </si>
  <si>
    <t>Reference No.</t>
  </si>
  <si>
    <t>ZREP-TA/TA/01/2025 (Borrower ref: ZW-ZETDC-533247-CS-QCBS)</t>
  </si>
  <si>
    <t>Submission Deadline</t>
  </si>
  <si>
    <t>Today's Date</t>
  </si>
  <si>
    <t>Days to Deadline</t>
  </si>
  <si>
    <t>Estimated Total Contract Value (USD)</t>
  </si>
  <si>
    <t>Estimated CB Share (USD)</t>
  </si>
  <si>
    <t>CB Share %</t>
  </si>
  <si>
    <t>B.  STRATEGIC FIT &amp; WIN-PROBABILITY SCORECARD (Weighted)</t>
  </si>
  <si>
    <t>#</t>
  </si>
  <si>
    <t>Criterion</t>
  </si>
  <si>
    <t>Scoring Rationale</t>
  </si>
  <si>
    <t>Weight %</t>
  </si>
  <si>
    <t>Score (1-5)</t>
  </si>
  <si>
    <t>Weighted</t>
  </si>
  <si>
    <t>Pass?</t>
  </si>
  <si>
    <t>Notes / Evidence</t>
  </si>
  <si>
    <t>B1</t>
  </si>
  <si>
    <t>Funder Profile &amp; Weighting</t>
  </si>
  <si>
    <t>Donor / MDB / Foundation = 5  |  Sovereign Govt (LDC) = 3  |  Sovereign Govt (MIC) = 2  |  Private / SOE-no DFI = 2</t>
  </si>
  <si>
    <t>WB IDA / SRMI ESMAP grant — payment risk low; benchmarked rates; predictable disbursement.</t>
  </si>
  <si>
    <t>B2</t>
  </si>
  <si>
    <t>Geographic / Country Fit</t>
  </si>
  <si>
    <t>Core SSA market = 5  |  Adjacent region = 3  |  New region = 2</t>
  </si>
  <si>
    <t>Zimbabwe adjacent to CB SADC footprint (Mpatamanga Malawi, Zambia ERB). No prior in-country ZW mandate.</t>
  </si>
  <si>
    <t>B3</t>
  </si>
  <si>
    <t>Sector Alignment with CB Core Practice</t>
  </si>
  <si>
    <t>Utility-scale RE TA = 5  |  Adjacent power = 4  |  Other infra = 3</t>
  </si>
  <si>
    <t>Utility-scale Solar IPP TA — CB Power &amp; Infrastructure core practice.</t>
  </si>
  <si>
    <t>B4</t>
  </si>
  <si>
    <t>Technical Scope Match vs CB In-house Quals</t>
  </si>
  <si>
    <t>Fully covered = 5  |  Partial — JV needed = 3  |  Major gap = 1</t>
  </si>
  <si>
    <t>CB strong on financial/commercial; needs partners for procurement (K&amp;M), tech/grid (Multiconsult), intl legal (Hunton AK), and Zim local legal at proposal stage.</t>
  </si>
  <si>
    <t>B5</t>
  </si>
  <si>
    <t>Alignment with Past Work / Quals (analogous projects)</t>
  </si>
  <si>
    <t>≥3 closely analogous past mandates = 5  |  1-2 = 3  |  None = 1</t>
  </si>
  <si>
    <t>Cote d'Ivoire Solar Pipeline (~100 MW FC 2021), Mpatamanga PPP (active), Botswana Solar+BESS (submission). 2-3 directly analogous mandates.</t>
  </si>
  <si>
    <t>B6</t>
  </si>
  <si>
    <t>Deadline Feasibility &amp; Internal Capacity</t>
  </si>
  <si>
    <t>Comfortable bandwidth = 5  |  Stretch = 3  |  Conflict = 1</t>
  </si>
  <si>
    <t>D-8 to deadline. Tight but workable — reuse templates from Karura, SP2, Botswana; consortium pre-assembled from prior solar bids.</t>
  </si>
  <si>
    <t>B7</t>
  </si>
  <si>
    <t>Revenue &amp; Profitability Potential</t>
  </si>
  <si>
    <t>&gt;$1M CB share &amp; &gt;25% margin = 5  |  Moderate = 3  |  Marginal = 1</t>
  </si>
  <si>
    <t>Total ~US$2.5M; CB share ~US$1M @ ~25-30% margin (output-based Phases 1-3 + time-based Phase 4).</t>
  </si>
  <si>
    <t>B8</t>
  </si>
  <si>
    <t>Strategic Value (relationship, replicability, pipeline)</t>
  </si>
  <si>
    <t>Multi-project ripple = 5  |  Standalone = 3</t>
  </si>
  <si>
    <t>First CB mandate in Zimbabwe; opens SADC solar pipeline; complements Mpatamanga; deepens GoZ/ZETDC relationship via capacity-building scope.</t>
  </si>
  <si>
    <t>B9</t>
  </si>
  <si>
    <t>Win Probability (competitive position)</t>
  </si>
  <si>
    <t>High = 5  |  Medium = 3  |  Low = 1</t>
  </si>
  <si>
    <t>Competitive WB solar TA market in SADC. CB differentiators: SADC hydropower PPP active + CIV solar FC.</t>
  </si>
  <si>
    <t>B10</t>
  </si>
  <si>
    <t>Risk Profile (country, fiduciary, contractual)</t>
  </si>
  <si>
    <t>Low = 5  |  Medium = 3  |  High = 1</t>
  </si>
  <si>
    <t>Zimbabwe FX/payment historical risk mitigated by WB direct disbursement to PIU.</t>
  </si>
  <si>
    <t>TOTAL / WEIGHTED SCORE</t>
  </si>
  <si>
    <t>Weighted avg →</t>
  </si>
  <si>
    <t>C.  TOR KEY-EXPERT COVERAGE &amp; QUALS GAP ANALYSIS</t>
  </si>
  <si>
    <t>ToR Requirement / Key Expert</t>
  </si>
  <si>
    <t>ToR Detail</t>
  </si>
  <si>
    <t>CB In-house Coverage (0-3)</t>
  </si>
  <si>
    <t>Gap?</t>
  </si>
  <si>
    <t>Filled By</t>
  </si>
  <si>
    <t>Comment</t>
  </si>
  <si>
    <t>C1</t>
  </si>
  <si>
    <t>Consortium Lead</t>
  </si>
  <si>
    <t>15+ yr TA leadership; single point of contact</t>
  </si>
  <si>
    <t>CrossBoundary</t>
  </si>
  <si>
    <t>CB primes Mpatamanga, Karura, SP2 - confident lead.</t>
  </si>
  <si>
    <t>C2</t>
  </si>
  <si>
    <t>Senior Solar IPP Procurement Lead (&gt;=10 yr)</t>
  </si>
  <si>
    <t>&gt;=3 closely analogous &gt;=100 MW solar IPP procurements within 10 yr</t>
  </si>
  <si>
    <t>K&amp;M Advisors</t>
  </si>
  <si>
    <t>K&amp;M strongest fit - Botswana, Liberia, multi-country solar IPP procurement track record.</t>
  </si>
  <si>
    <t>C3</t>
  </si>
  <si>
    <t>Senior Solar PV Technical Specialist</t>
  </si>
  <si>
    <t>Solar park dev, substation grid integration, yield modeling</t>
  </si>
  <si>
    <t>Multiconsult UK</t>
  </si>
  <si>
    <t>GET FiT (UG/ZM/MZ) and solar feasibility depth.</t>
  </si>
  <si>
    <t>C4</t>
  </si>
  <si>
    <t>Senior Financial Advisor (Project Finance, IPP, SSA)</t>
  </si>
  <si>
    <t>RE to FC; IPPs/lenders; sovereign support</t>
  </si>
  <si>
    <t>CB P&amp;I team fully equipped (CIV Solar FC, Mpatamanga, SP2).</t>
  </si>
  <si>
    <t>C5</t>
  </si>
  <si>
    <t>Senior Procurement / Tender Manager</t>
  </si>
  <si>
    <t>RFQ/RFP, evaluation, negotiation; WB Procurement Regs 6th Ed.</t>
  </si>
  <si>
    <t>CrossBoundary / K&amp;M</t>
  </si>
  <si>
    <t>CB has tender mgmt experience; K&amp;M strengthens with multi-country IPP tendering depth.</t>
  </si>
  <si>
    <t>C6</t>
  </si>
  <si>
    <t>International Legal Expert (PPA/GPSA/IA)</t>
  </si>
  <si>
    <t>PF + RE PPA + sovereign support; SSA experience</t>
  </si>
  <si>
    <t>Hunton Andrews Kurth</t>
  </si>
  <si>
    <t>Hunton AK Tier-1 for RE PPA/IA in SSA. Norton Rose fallback.</t>
  </si>
  <si>
    <t>C7</t>
  </si>
  <si>
    <t>Zimbabwe Local Legal Counsel</t>
  </si>
  <si>
    <t>Local PPA/regulatory/ZERA filings; land/permit advice</t>
  </si>
  <si>
    <t>Scanlen &amp; Holderness OR DLA Manokore (TBD)</t>
  </si>
  <si>
    <t>Not required at EOI stage; flag for proposal stage. CRM check pending.</t>
  </si>
  <si>
    <t>C8</t>
  </si>
  <si>
    <t>E&amp;S Specialist (WB ESF)</t>
  </si>
  <si>
    <t>WB Environmental &amp; Social Framework compliance</t>
  </si>
  <si>
    <t>Multiconsult / Artelia</t>
  </si>
  <si>
    <t>Multiconsult primary; Artelia fallback.</t>
  </si>
  <si>
    <t>C9</t>
  </si>
  <si>
    <t>Grid Integration / VRE Studies Expert</t>
  </si>
  <si>
    <t>Substation hosting capacity; VRE penetration</t>
  </si>
  <si>
    <t>Multiconsult / K&amp;M</t>
  </si>
  <si>
    <t>Required for substation-based tender; ZETDC system planning interface.</t>
  </si>
  <si>
    <t>C10</t>
  </si>
  <si>
    <t>Zimbabwe In-country Logistics / Workshops</t>
  </si>
  <si>
    <t>Workshops &amp; on-the-job training in Harare</t>
  </si>
  <si>
    <t>Local legal sub + CB Mauritius</t>
  </si>
  <si>
    <t>CB to deploy senior staff for workshops; pair with local legal partner.</t>
  </si>
  <si>
    <t>COVERAGE SUMMARY</t>
  </si>
  <si>
    <t>CB internal cov.</t>
  </si>
  <si>
    <t>If &lt;50% in-house coverage, consortium is mandatory; if 50-80%, supplement with selected partners; if &gt;80%, CB can prime solo.</t>
  </si>
  <si>
    <t>D.  PARTNER SHORTLIST &amp; FIT SCORING (Past Collaborators Prioritized)</t>
  </si>
  <si>
    <t>Partner Firm</t>
  </si>
  <si>
    <t>Proposed Role in Liberia Consortium</t>
  </si>
  <si>
    <t>Past JV w/ CB?</t>
  </si>
  <si>
    <t>BESS / Solar Score (1-5)</t>
  </si>
  <si>
    <t>West Africa Score (1-5)</t>
  </si>
  <si>
    <t>Liberia Local Presence (1-5)</t>
  </si>
  <si>
    <t>Capacity / Bench (1-5)</t>
  </si>
  <si>
    <t>Avg Fit Score</t>
  </si>
  <si>
    <t>Recommend?</t>
  </si>
  <si>
    <t>Lead Contact</t>
  </si>
  <si>
    <t>Rationale</t>
  </si>
  <si>
    <t>D1</t>
  </si>
  <si>
    <t>Co-Lead - Solar IPP Procurement &amp; PPP Specialist</t>
  </si>
  <si>
    <t>Yes - Liberia LEC 2025, Botswana 2025, SP2 2026, Mpatamanga (parallel)</t>
  </si>
  <si>
    <t>Ken Schisler / Derek Martin</t>
  </si>
  <si>
    <t>Strongest solar IPP procurement pedigree. No Zimbabwe presence but SSA-wide bench.</t>
  </si>
  <si>
    <t>D2</t>
  </si>
  <si>
    <t>Multiconsult UK Ltd</t>
  </si>
  <si>
    <t>Technical / Grid / E&amp;S Lead</t>
  </si>
  <si>
    <t>Yes - Karura Hydro Kenya 2026; Mpatamanga technical</t>
  </si>
  <si>
    <t>Snorre Treimo / Andrew Thick</t>
  </si>
  <si>
    <t>GET FiT alumnus; SADC offices (Lusaka, Maputo); strong solar PV + E&amp;S bench.</t>
  </si>
  <si>
    <t>D3</t>
  </si>
  <si>
    <t>International Legal - PPA / IA / sovereign guarantees</t>
  </si>
  <si>
    <t>Yes - Liberia LEC 2025 RFP</t>
  </si>
  <si>
    <t>Jonathan Quayson</t>
  </si>
  <si>
    <t>Tier-1 RE legal; deep PPA + sovereign support practice across SSA.</t>
  </si>
  <si>
    <t>D4</t>
  </si>
  <si>
    <t>Norton Rose Fulbright</t>
  </si>
  <si>
    <t>International Legal (alternate)</t>
  </si>
  <si>
    <t>Yes - Botswana Solar Auction 2025</t>
  </si>
  <si>
    <t>Yusuf Hassan</t>
  </si>
  <si>
    <t>Strong alt if Hunton conflicted; Botswana solar auction co-lead.</t>
  </si>
  <si>
    <t>D5</t>
  </si>
  <si>
    <t>Herbert Smith Freehills Kramer</t>
  </si>
  <si>
    <t>International Legal (alternate) - PPP/PF</t>
  </si>
  <si>
    <t>Yes - Mpatamanga (parallel), Karura 2026</t>
  </si>
  <si>
    <t>Martin Kavanagh / Sean Hennessy</t>
  </si>
  <si>
    <t>Top-tier PPP legal; less RE/PPA specific than Hunton.</t>
  </si>
  <si>
    <t>D6</t>
  </si>
  <si>
    <t>Africa Legal Network (ALN)</t>
  </si>
  <si>
    <t>Regional Legal (alternate)</t>
  </si>
  <si>
    <t>Yes - Songwe Dam 2025</t>
  </si>
  <si>
    <t>Anne Kiunuhe</t>
  </si>
  <si>
    <t>Pan-Africa network incl. SADC; weaker BESS/solar specificity.</t>
  </si>
  <si>
    <t>D7</t>
  </si>
  <si>
    <t>Scanlen &amp; Holderness (Zimbabwe)</t>
  </si>
  <si>
    <t>Zimbabwe Local Legal - ZERA filings, land, regulatory</t>
  </si>
  <si>
    <t>No - new partner</t>
  </si>
  <si>
    <t>TBD - confirm via Zim CRM</t>
  </si>
  <si>
    <t>Long-standing ZW firm; energy sector experience. Required at proposal stage.</t>
  </si>
  <si>
    <t>D8</t>
  </si>
  <si>
    <t>Artelia</t>
  </si>
  <si>
    <t>Technical (alternate) - Solar / E&amp;S</t>
  </si>
  <si>
    <t>Yes - Songwe 2025</t>
  </si>
  <si>
    <t>Xavier Ducos</t>
  </si>
  <si>
    <t>Strong dam/hydro pedigree; less solar PV-specific.</t>
  </si>
  <si>
    <t>D9</t>
  </si>
  <si>
    <t>WSP Africa</t>
  </si>
  <si>
    <t>Technical (alternate) - BESS / Grid integration</t>
  </si>
  <si>
    <t>Yes - KenGen BESS 2025</t>
  </si>
  <si>
    <t>Olawale Adeyemi</t>
  </si>
  <si>
    <t>BESS feasibility depth; option if Multiconsult unavailable.</t>
  </si>
  <si>
    <t>D10</t>
  </si>
  <si>
    <t>RSK Environment (Kenya)</t>
  </si>
  <si>
    <t>E&amp;S (alternate) - WB ESF compliance</t>
  </si>
  <si>
    <t>No - profile only</t>
  </si>
  <si>
    <t>TBD</t>
  </si>
  <si>
    <t>Backup E&amp;S if Multiconsult cannot absorb E&amp;S scope.</t>
  </si>
  <si>
    <t>E.  RECOMMENDED CONSORTIUM STRUCTURE (Liberia LEC Re-bid)</t>
  </si>
  <si>
    <t>Role</t>
  </si>
  <si>
    <t>Firm(s)</t>
  </si>
  <si>
    <t>Scope in Consortium</t>
  </si>
  <si>
    <t>Rationale / Source from BD Folder</t>
  </si>
  <si>
    <t>Lead (Prime)</t>
  </si>
  <si>
    <t>CrossBoundary LLC</t>
  </si>
  <si>
    <t>Overall TA lead; financial/commercial structuring; bid evaluation; market sounding; FC support; capacity building delivery</t>
  </si>
  <si>
    <t>CB primes ZREP - Mpatamanga PPP precedent in SADC + CIV Solar FC.</t>
  </si>
  <si>
    <t>Procurement &amp; IPP/PPP Specialist</t>
  </si>
  <si>
    <t>Procurement framework design; RFQ/RFP; bidder prequal &amp; evaluation; auction design</t>
  </si>
  <si>
    <t>Most experienced solar IPP procurement partner; solar+BESS auction design across SSA.</t>
  </si>
  <si>
    <t>Solar PV feasibility; substation/grid integration; ESIA framework; solar park site studies</t>
  </si>
  <si>
    <t>GET FiT alumnus; SADC offices; solar + E&amp;S bench.</t>
  </si>
  <si>
    <t>International Legal Counsel</t>
  </si>
  <si>
    <t>Hunton Andrews Kurth (primary) / Norton Rose Fulbright (alt.)</t>
  </si>
  <si>
    <t>PPA / GPSA / IA drafting; sovereign support; legal/regulatory DD; competitive bidding legal framework</t>
  </si>
  <si>
    <t>Hunton AK = Tier-1 SSA RE legal. Norton Rose as alt if Hunton conflicted.</t>
  </si>
  <si>
    <t>Zimbabwe Local Legal (proposal stage)</t>
  </si>
  <si>
    <t>Local ZERA/regulatory; land/permits/PPP Act; in-country interface</t>
  </si>
  <si>
    <t>Required at full-proposal stage; not required at EOI. Confirm in CRM by D+10.</t>
  </si>
  <si>
    <t>F.  GO / NO-GO DECISION SUMMARY</t>
  </si>
  <si>
    <t>Strategic Fit Weighted Score (Section B):</t>
  </si>
  <si>
    <t>CB In-house Coverage (Section C):</t>
  </si>
  <si>
    <t>Recommended # of Partners:</t>
  </si>
  <si>
    <t>G.  HOW TO USE THIS TEMPLATE (For future bids)</t>
  </si>
  <si>
    <t>1. Overwrite the yellow input cells in Section A with the new opportunity's details (deadline auto-computes days remaining).</t>
  </si>
  <si>
    <t>2. In Section B, adjust Weight % (col E) only if criteria materially differ; review/update the 1-5 Score (col F). Conditional formatting flags low scores.</t>
  </si>
  <si>
    <t>3. In Section C, score CrossBoundary's in-house coverage 0-3 for each ToR role. The Gap column auto-flags Major/Partial/None.</t>
  </si>
  <si>
    <t>4. In Section D, pre-load known past JV partners. For new candidates, populate rows 11-15 (extend as needed). Scores are 1-5 across BESS/Solar, West Africa, Liberia (or target country) local presence, and bench capacity.</t>
  </si>
  <si>
    <t>5. Section E (Recommended Consortium) is the synthesis — update names and roles per the resulting partner scores.</t>
  </si>
  <si>
    <t>6. Section F renders the final Go/Conditional/No-Go banner automatically based on Sections B + C.</t>
  </si>
  <si>
    <t>7. Funder weighting: a Donor / MDB / Foundation funder should score 5 on criterion B1; a sovereign government (without DFI backing) should score 2-3. This is the donor-heavy bias the user requested.</t>
  </si>
  <si>
    <t>8. Save a copy per bid (rename file to &lt;BidName&gt;_GoNoGo.xlsx). Archive in the bid's BD folder under 0. Admin.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</si>
</sst>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\$#,##0;&quot;($&quot;#,##0\);\-"/>
    <numFmt numFmtId="166" formatCode="0.0%"/>
    <numFmt numFmtId="167" formatCode="0.0"/>
  </numFmts>
  <fonts count="12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i/>
      <sz val="10"/>
      <color rgb="FF595959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sz val="10"/>
      <name val="Arial"/>
      <charset val="1"/>
    </font>
    <font>
      <b/>
      <sz val="11"/>
      <name val="Arial"/>
      <charset val="1"/>
    </font>
    <font>
      <b/>
      <sz val="12"/>
      <name val="Arial"/>
      <charset val="1"/>
    </font>
    <font>
      <b/>
      <sz val="16"/>
      <color rgb="FF00000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305496"/>
        <bgColor rgb="FF1F3864"/>
      </patternFill>
    </fill>
    <fill>
      <patternFill patternType="solid">
        <fgColor rgb="FFFFFF99"/>
        <bgColor rgb="FFFFEB9C"/>
      </patternFill>
    </fill>
    <fill>
      <patternFill patternType="solid">
        <fgColor rgb="FF8EA9DB"/>
        <bgColor rgb="FF969696"/>
      </patternFill>
    </fill>
    <fill>
      <patternFill patternType="solid">
        <fgColor rgb="FFFFF2CC"/>
        <bgColor rgb="FFFFEB9C"/>
      </patternFill>
    </fill>
  </fills>
  <borders count="10">
    <border>
      <left/>
      <right/>
      <top/>
      <bottom/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rgb="FF1F3864"/>
      </left>
      <right/>
      <top style="medium">
        <color rgb="FF1F3864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medium">
        <color rgb="FF1F3864"/>
      </top>
      <bottom/>
      <diagonal/>
    </border>
    <border>
      <left style="medium">
        <color rgb="FF1F3864"/>
      </left>
      <right/>
      <top/>
      <bottom/>
      <diagonal/>
    </border>
    <border>
      <left/>
      <right/>
      <top style="medium">
        <color rgb="FF1F3864"/>
      </top>
      <bottom style="medium">
        <color rgb="FF1F3864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0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 indent="1"/>
    </xf>
    <xf numFmtId="0" fontId="3" fillId="0" borderId="2" xfId="0" applyFont="1" applyBorder="1" applyAlignment="1">
      <alignment horizontal="left" vertical="center" wrapText="1" indent="1"/>
    </xf>
    <xf numFmtId="0" fontId="4" fillId="4" borderId="2" xfId="0" applyFont="1" applyFill="1" applyBorder="1" applyAlignment="1">
      <alignment horizontal="center" vertical="center" wrapText="1"/>
    </xf>
    <xf numFmtId="164" fontId="4" fillId="4" borderId="2" xfId="0" applyNumberFormat="1" applyFont="1" applyFill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165" fontId="4" fillId="4" borderId="2" xfId="0" applyNumberFormat="1" applyFont="1" applyFill="1" applyBorder="1" applyAlignment="1">
      <alignment horizontal="center" vertical="center" wrapText="1"/>
    </xf>
    <xf numFmtId="165" fontId="6" fillId="0" borderId="2" xfId="0" applyNumberFormat="1" applyFont="1" applyBorder="1" applyAlignment="1">
      <alignment horizontal="center" vertical="center"/>
    </xf>
    <xf numFmtId="9" fontId="4" fillId="4" borderId="2" xfId="0" applyNumberFormat="1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6" fontId="4" fillId="4" borderId="2" xfId="0" applyNumberFormat="1" applyFont="1" applyFill="1" applyBorder="1" applyAlignment="1">
      <alignment horizontal="center" vertical="center" wrapText="1"/>
    </xf>
    <xf numFmtId="2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 wrapText="1"/>
    </xf>
    <xf numFmtId="166" fontId="9" fillId="6" borderId="2" xfId="0" applyNumberFormat="1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right" vertical="center"/>
    </xf>
    <xf numFmtId="2" fontId="10" fillId="6" borderId="2" xfId="0" applyNumberFormat="1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9" fontId="9" fillId="6" borderId="2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 wrapText="1"/>
    </xf>
    <xf numFmtId="167" fontId="9" fillId="0" borderId="2" xfId="0" applyNumberFormat="1" applyFont="1" applyBorder="1" applyAlignment="1">
      <alignment horizontal="center" vertical="center"/>
    </xf>
    <xf numFmtId="9" fontId="10" fillId="6" borderId="2" xfId="0" applyNumberFormat="1" applyFont="1" applyFill="1" applyBorder="1" applyAlignment="1">
      <alignment horizontal="center" vertical="center"/>
    </xf>
    <xf numFmtId="0" fontId="8" fillId="0" borderId="3" xfId="0" applyFont="1" applyBorder="1" applyAlignment="1">
      <alignment horizontal="left" vertical="center" wrapText="1" indent="1"/>
    </xf>
    <xf numFmtId="0" fontId="0" fillId="0" borderId="5" xfId="0" applyBorder="1"/>
    <xf numFmtId="0" fontId="8" fillId="0" borderId="2" xfId="0" applyFont="1" applyBorder="1" applyAlignment="1">
      <alignment horizontal="left" vertical="center" wrapText="1" indent="1"/>
    </xf>
    <xf numFmtId="0" fontId="0" fillId="0" borderId="9" xfId="0" applyBorder="1"/>
    <xf numFmtId="0" fontId="7" fillId="5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 indent="1"/>
    </xf>
    <xf numFmtId="0" fontId="0" fillId="0" borderId="8" xfId="0" applyBorder="1"/>
    <xf numFmtId="0" fontId="10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11" fillId="6" borderId="4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5" fillId="0" borderId="3" xfId="0" applyFont="1" applyBorder="1" applyAlignment="1">
      <alignment horizontal="left" vertical="center" wrapText="1"/>
    </xf>
    <xf numFmtId="0" fontId="8" fillId="6" borderId="3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18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8EA9DB"/>
      <rgbColor rgb="FF993366"/>
      <rgbColor rgb="FFFFF2CC"/>
      <rgbColor rgb="FFFFEB9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N85"/>
  <sheetViews>
    <sheetView tabSelected="1" zoomScale="98" zoomScaleNormal="100" workbookViewId="0">
      <pane xSplit="1" ySplit="2" topLeftCell="B42" activePane="bottomRight" state="frozen"/>
      <selection pane="topRight" activeCell="B1" sqref="B1"/>
      <selection pane="bottomLeft" activeCell="A3" sqref="A3"/>
      <selection pane="bottomRight" activeCell="D54" sqref="D54"/>
    </sheetView>
  </sheetViews>
  <sheetFormatPr defaultColWidth="8.7109375" defaultRowHeight="15" x14ac:dyDescent="0.25"/>
  <cols>
    <col min="1" max="1" width="4" customWidth="1"/>
    <col min="2" max="2" width="34" customWidth="1"/>
    <col min="3" max="3" width="42" customWidth="1"/>
    <col min="4" max="4" width="48.42578125" customWidth="1"/>
    <col min="5" max="5" width="30.140625" customWidth="1"/>
    <col min="6" max="6" width="20.28515625" customWidth="1"/>
    <col min="7" max="7" width="25.28515625" customWidth="1"/>
    <col min="8" max="8" width="11" customWidth="1"/>
    <col min="9" max="12" width="13" customWidth="1"/>
    <col min="13" max="14" width="18" customWidth="1"/>
  </cols>
  <sheetData>
    <row r="1" spans="2:14" ht="30" customHeight="1" x14ac:dyDescent="0.25">
      <c r="B1" s="39" t="s">
        <v>0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</row>
    <row r="3" spans="2:14" ht="21.75" customHeight="1" x14ac:dyDescent="0.25">
      <c r="B3" s="31" t="s">
        <v>1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</row>
    <row r="5" spans="2:14" ht="30" customHeight="1" x14ac:dyDescent="0.25">
      <c r="B5" s="4" t="s">
        <v>2</v>
      </c>
      <c r="C5" s="5" t="s">
        <v>3</v>
      </c>
      <c r="D5" s="40" t="s">
        <v>4</v>
      </c>
      <c r="E5" s="27"/>
      <c r="F5" s="27"/>
      <c r="G5" s="27"/>
      <c r="H5" s="27"/>
      <c r="I5" s="27"/>
      <c r="J5" s="27"/>
      <c r="K5" s="27"/>
      <c r="L5" s="27"/>
      <c r="M5" s="27"/>
      <c r="N5" s="27"/>
    </row>
    <row r="6" spans="2:14" ht="23.25" customHeight="1" x14ac:dyDescent="0.25">
      <c r="B6" s="4" t="s">
        <v>5</v>
      </c>
      <c r="C6" s="5" t="s">
        <v>6</v>
      </c>
    </row>
    <row r="7" spans="2:14" ht="23.25" customHeight="1" x14ac:dyDescent="0.25">
      <c r="B7" s="4" t="s">
        <v>7</v>
      </c>
      <c r="C7" s="5" t="s">
        <v>8</v>
      </c>
    </row>
    <row r="8" spans="2:14" ht="34.5" customHeight="1" x14ac:dyDescent="0.25">
      <c r="B8" s="4" t="s">
        <v>9</v>
      </c>
      <c r="C8" s="5" t="s">
        <v>10</v>
      </c>
    </row>
    <row r="9" spans="2:14" ht="15" customHeight="1" x14ac:dyDescent="0.25">
      <c r="B9" s="4" t="s">
        <v>11</v>
      </c>
      <c r="C9" s="5" t="s">
        <v>12</v>
      </c>
    </row>
    <row r="10" spans="2:14" ht="23.25" customHeight="1" x14ac:dyDescent="0.25">
      <c r="B10" s="4" t="s">
        <v>13</v>
      </c>
      <c r="C10" s="5" t="s">
        <v>14</v>
      </c>
    </row>
    <row r="11" spans="2:14" ht="15" customHeight="1" x14ac:dyDescent="0.25">
      <c r="B11" s="4" t="s">
        <v>15</v>
      </c>
      <c r="C11" s="5" t="s">
        <v>16</v>
      </c>
    </row>
    <row r="12" spans="2:14" ht="15" customHeight="1" x14ac:dyDescent="0.25">
      <c r="B12" s="4" t="s">
        <v>17</v>
      </c>
      <c r="C12" s="5" t="s">
        <v>18</v>
      </c>
    </row>
    <row r="13" spans="2:14" ht="15" customHeight="1" x14ac:dyDescent="0.25">
      <c r="B13" s="4" t="s">
        <v>19</v>
      </c>
      <c r="C13" s="6">
        <v>46171</v>
      </c>
    </row>
    <row r="14" spans="2:14" ht="15" customHeight="1" x14ac:dyDescent="0.25">
      <c r="B14" s="4" t="s">
        <v>20</v>
      </c>
      <c r="C14" s="7">
        <f ca="1">TODAY()</f>
        <v>46288</v>
      </c>
    </row>
    <row r="15" spans="2:14" ht="15" customHeight="1" x14ac:dyDescent="0.25">
      <c r="B15" s="4" t="s">
        <v>21</v>
      </c>
      <c r="C15" s="8">
        <f ca="1">IF(C13="","",C13-C14)</f>
        <v>-117</v>
      </c>
    </row>
    <row r="16" spans="2:14" ht="15" customHeight="1" x14ac:dyDescent="0.25">
      <c r="B16" s="4" t="s">
        <v>22</v>
      </c>
      <c r="C16" s="9">
        <v>2500000</v>
      </c>
    </row>
    <row r="17" spans="2:14" ht="15" customHeight="1" x14ac:dyDescent="0.25">
      <c r="B17" s="4" t="s">
        <v>23</v>
      </c>
      <c r="C17" s="10">
        <f>C16*C18</f>
        <v>1000000</v>
      </c>
    </row>
    <row r="18" spans="2:14" ht="15" customHeight="1" x14ac:dyDescent="0.25">
      <c r="B18" s="4" t="s">
        <v>24</v>
      </c>
      <c r="C18" s="11">
        <v>0.4</v>
      </c>
    </row>
    <row r="20" spans="2:14" ht="21.75" customHeight="1" x14ac:dyDescent="0.25">
      <c r="B20" s="31" t="s">
        <v>25</v>
      </c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</row>
    <row r="21" spans="2:14" ht="31.5" customHeight="1" x14ac:dyDescent="0.25">
      <c r="B21" s="12" t="s">
        <v>26</v>
      </c>
      <c r="C21" s="12" t="s">
        <v>27</v>
      </c>
      <c r="D21" s="12" t="s">
        <v>28</v>
      </c>
      <c r="E21" s="12" t="s">
        <v>29</v>
      </c>
      <c r="F21" s="12" t="s">
        <v>30</v>
      </c>
      <c r="G21" s="12" t="s">
        <v>31</v>
      </c>
      <c r="H21" s="12" t="s">
        <v>32</v>
      </c>
      <c r="I21" s="30" t="s">
        <v>33</v>
      </c>
      <c r="J21" s="27"/>
      <c r="K21" s="27"/>
      <c r="L21" s="27"/>
      <c r="M21" s="27"/>
      <c r="N21" s="27"/>
    </row>
    <row r="22" spans="2:14" ht="42" customHeight="1" x14ac:dyDescent="0.25">
      <c r="B22" s="13" t="s">
        <v>34</v>
      </c>
      <c r="C22" s="4" t="s">
        <v>35</v>
      </c>
      <c r="D22" s="3" t="s">
        <v>36</v>
      </c>
      <c r="E22" s="14">
        <v>0.15</v>
      </c>
      <c r="F22" s="5">
        <v>5</v>
      </c>
      <c r="G22" s="15">
        <f t="shared" ref="G22:G31" si="0">E22*F22</f>
        <v>0.75</v>
      </c>
      <c r="H22" s="16" t="str">
        <f t="shared" ref="H22:H31" si="1">IF(F22="","",IF(F22&gt;=3,"Yes","No"))</f>
        <v>Yes</v>
      </c>
      <c r="I22" s="26" t="s">
        <v>37</v>
      </c>
      <c r="J22" s="27"/>
      <c r="K22" s="27"/>
      <c r="L22" s="27"/>
      <c r="M22" s="27"/>
      <c r="N22" s="27"/>
    </row>
    <row r="23" spans="2:14" ht="42" customHeight="1" x14ac:dyDescent="0.25">
      <c r="B23" s="13" t="s">
        <v>38</v>
      </c>
      <c r="C23" s="4" t="s">
        <v>39</v>
      </c>
      <c r="D23" s="3" t="s">
        <v>40</v>
      </c>
      <c r="E23" s="14">
        <v>0.08</v>
      </c>
      <c r="F23" s="5">
        <v>3</v>
      </c>
      <c r="G23" s="15">
        <f t="shared" si="0"/>
        <v>0.24</v>
      </c>
      <c r="H23" s="16" t="str">
        <f t="shared" si="1"/>
        <v>Yes</v>
      </c>
      <c r="I23" s="26" t="s">
        <v>41</v>
      </c>
      <c r="J23" s="27"/>
      <c r="K23" s="27"/>
      <c r="L23" s="27"/>
      <c r="M23" s="27"/>
      <c r="N23" s="27"/>
    </row>
    <row r="24" spans="2:14" ht="42" customHeight="1" x14ac:dyDescent="0.25">
      <c r="B24" s="13" t="s">
        <v>42</v>
      </c>
      <c r="C24" s="4" t="s">
        <v>43</v>
      </c>
      <c r="D24" s="3" t="s">
        <v>44</v>
      </c>
      <c r="E24" s="14">
        <v>0.1</v>
      </c>
      <c r="F24" s="5">
        <v>5</v>
      </c>
      <c r="G24" s="15">
        <f t="shared" si="0"/>
        <v>0.5</v>
      </c>
      <c r="H24" s="16" t="str">
        <f t="shared" si="1"/>
        <v>Yes</v>
      </c>
      <c r="I24" s="26" t="s">
        <v>45</v>
      </c>
      <c r="J24" s="27"/>
      <c r="K24" s="27"/>
      <c r="L24" s="27"/>
      <c r="M24" s="27"/>
      <c r="N24" s="27"/>
    </row>
    <row r="25" spans="2:14" ht="42" customHeight="1" x14ac:dyDescent="0.25">
      <c r="B25" s="13" t="s">
        <v>46</v>
      </c>
      <c r="C25" s="4" t="s">
        <v>47</v>
      </c>
      <c r="D25" s="3" t="s">
        <v>48</v>
      </c>
      <c r="E25" s="14">
        <v>0.12</v>
      </c>
      <c r="F25" s="5">
        <v>3</v>
      </c>
      <c r="G25" s="15">
        <f t="shared" si="0"/>
        <v>0.36</v>
      </c>
      <c r="H25" s="16" t="str">
        <f t="shared" si="1"/>
        <v>Yes</v>
      </c>
      <c r="I25" s="26" t="s">
        <v>49</v>
      </c>
      <c r="J25" s="27"/>
      <c r="K25" s="27"/>
      <c r="L25" s="27"/>
      <c r="M25" s="27"/>
      <c r="N25" s="27"/>
    </row>
    <row r="26" spans="2:14" ht="42" customHeight="1" x14ac:dyDescent="0.25">
      <c r="B26" s="13" t="s">
        <v>50</v>
      </c>
      <c r="C26" s="4" t="s">
        <v>51</v>
      </c>
      <c r="D26" s="3" t="s">
        <v>52</v>
      </c>
      <c r="E26" s="14">
        <v>0.12</v>
      </c>
      <c r="F26" s="5">
        <v>4</v>
      </c>
      <c r="G26" s="15">
        <f t="shared" si="0"/>
        <v>0.48</v>
      </c>
      <c r="H26" s="16" t="str">
        <f t="shared" si="1"/>
        <v>Yes</v>
      </c>
      <c r="I26" s="26" t="s">
        <v>53</v>
      </c>
      <c r="J26" s="27"/>
      <c r="K26" s="27"/>
      <c r="L26" s="27"/>
      <c r="M26" s="27"/>
      <c r="N26" s="27"/>
    </row>
    <row r="27" spans="2:14" ht="42" customHeight="1" x14ac:dyDescent="0.25">
      <c r="B27" s="13" t="s">
        <v>54</v>
      </c>
      <c r="C27" s="4" t="s">
        <v>55</v>
      </c>
      <c r="D27" s="3" t="s">
        <v>56</v>
      </c>
      <c r="E27" s="14">
        <v>0.08</v>
      </c>
      <c r="F27" s="5">
        <v>3</v>
      </c>
      <c r="G27" s="15">
        <f t="shared" si="0"/>
        <v>0.24</v>
      </c>
      <c r="H27" s="16" t="str">
        <f t="shared" si="1"/>
        <v>Yes</v>
      </c>
      <c r="I27" s="26" t="s">
        <v>57</v>
      </c>
      <c r="J27" s="27"/>
      <c r="K27" s="27"/>
      <c r="L27" s="27"/>
      <c r="M27" s="27"/>
      <c r="N27" s="27"/>
    </row>
    <row r="28" spans="2:14" ht="42" customHeight="1" x14ac:dyDescent="0.25">
      <c r="B28" s="13" t="s">
        <v>58</v>
      </c>
      <c r="C28" s="4" t="s">
        <v>59</v>
      </c>
      <c r="D28" s="3" t="s">
        <v>60</v>
      </c>
      <c r="E28" s="14">
        <v>0.1</v>
      </c>
      <c r="F28" s="5">
        <v>4</v>
      </c>
      <c r="G28" s="15">
        <f t="shared" si="0"/>
        <v>0.4</v>
      </c>
      <c r="H28" s="16" t="str">
        <f t="shared" si="1"/>
        <v>Yes</v>
      </c>
      <c r="I28" s="26" t="s">
        <v>61</v>
      </c>
      <c r="J28" s="27"/>
      <c r="K28" s="27"/>
      <c r="L28" s="27"/>
      <c r="M28" s="27"/>
      <c r="N28" s="27"/>
    </row>
    <row r="29" spans="2:14" ht="42" customHeight="1" x14ac:dyDescent="0.25">
      <c r="B29" s="13" t="s">
        <v>62</v>
      </c>
      <c r="C29" s="4" t="s">
        <v>63</v>
      </c>
      <c r="D29" s="3" t="s">
        <v>64</v>
      </c>
      <c r="E29" s="14">
        <v>0.1</v>
      </c>
      <c r="F29" s="5">
        <v>5</v>
      </c>
      <c r="G29" s="15">
        <f t="shared" si="0"/>
        <v>0.5</v>
      </c>
      <c r="H29" s="16" t="str">
        <f t="shared" si="1"/>
        <v>Yes</v>
      </c>
      <c r="I29" s="26" t="s">
        <v>65</v>
      </c>
      <c r="J29" s="27"/>
      <c r="K29" s="27"/>
      <c r="L29" s="27"/>
      <c r="M29" s="27"/>
      <c r="N29" s="27"/>
    </row>
    <row r="30" spans="2:14" ht="42" customHeight="1" x14ac:dyDescent="0.25">
      <c r="B30" s="13" t="s">
        <v>66</v>
      </c>
      <c r="C30" s="4" t="s">
        <v>67</v>
      </c>
      <c r="D30" s="3" t="s">
        <v>68</v>
      </c>
      <c r="E30" s="14">
        <v>0.1</v>
      </c>
      <c r="F30" s="5">
        <v>3</v>
      </c>
      <c r="G30" s="15">
        <f t="shared" si="0"/>
        <v>0.30000000000000004</v>
      </c>
      <c r="H30" s="16" t="str">
        <f t="shared" si="1"/>
        <v>Yes</v>
      </c>
      <c r="I30" s="26" t="s">
        <v>69</v>
      </c>
      <c r="J30" s="27"/>
      <c r="K30" s="27"/>
      <c r="L30" s="27"/>
      <c r="M30" s="27"/>
      <c r="N30" s="27"/>
    </row>
    <row r="31" spans="2:14" ht="42" customHeight="1" x14ac:dyDescent="0.25">
      <c r="B31" s="13" t="s">
        <v>70</v>
      </c>
      <c r="C31" s="4" t="s">
        <v>71</v>
      </c>
      <c r="D31" s="3" t="s">
        <v>72</v>
      </c>
      <c r="E31" s="14">
        <v>0.05</v>
      </c>
      <c r="F31" s="5">
        <v>3</v>
      </c>
      <c r="G31" s="15">
        <f t="shared" si="0"/>
        <v>0.15000000000000002</v>
      </c>
      <c r="H31" s="16" t="str">
        <f t="shared" si="1"/>
        <v>Yes</v>
      </c>
      <c r="I31" s="26" t="s">
        <v>73</v>
      </c>
      <c r="J31" s="27"/>
      <c r="K31" s="27"/>
      <c r="L31" s="27"/>
      <c r="M31" s="27"/>
      <c r="N31" s="27"/>
    </row>
    <row r="32" spans="2:14" ht="15" customHeight="1" x14ac:dyDescent="0.25">
      <c r="C32" s="17" t="s">
        <v>74</v>
      </c>
      <c r="E32" s="18">
        <f>SUM(E22:E31)</f>
        <v>0.99999999999999989</v>
      </c>
      <c r="F32" s="19" t="s">
        <v>75</v>
      </c>
      <c r="G32" s="20">
        <f>SUMPRODUCT(E22:E31,F22:F31)</f>
        <v>3.9200000000000004</v>
      </c>
      <c r="H32" s="21" t="str">
        <f>IF(G32&gt;=3.5,"PASS",IF(G32&gt;=2.5,"BORDERLINE","FAIL"))</f>
        <v>PASS</v>
      </c>
    </row>
    <row r="34" spans="2:14" ht="21.75" customHeight="1" x14ac:dyDescent="0.25">
      <c r="B34" s="31" t="s">
        <v>76</v>
      </c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</row>
    <row r="35" spans="2:14" ht="31.5" customHeight="1" x14ac:dyDescent="0.25">
      <c r="B35" s="12" t="s">
        <v>26</v>
      </c>
      <c r="C35" s="12" t="s">
        <v>77</v>
      </c>
      <c r="D35" s="12" t="s">
        <v>78</v>
      </c>
      <c r="E35" s="12" t="s">
        <v>79</v>
      </c>
      <c r="F35" s="12" t="s">
        <v>80</v>
      </c>
      <c r="G35" s="12" t="s">
        <v>81</v>
      </c>
      <c r="H35" s="30" t="s">
        <v>82</v>
      </c>
      <c r="I35" s="27"/>
      <c r="J35" s="27"/>
      <c r="K35" s="27"/>
      <c r="L35" s="27"/>
      <c r="M35" s="27"/>
      <c r="N35" s="27"/>
    </row>
    <row r="36" spans="2:14" ht="42" customHeight="1" x14ac:dyDescent="0.25">
      <c r="B36" s="13" t="s">
        <v>83</v>
      </c>
      <c r="C36" s="2" t="s">
        <v>84</v>
      </c>
      <c r="D36" s="3" t="s">
        <v>85</v>
      </c>
      <c r="E36" s="5">
        <v>3</v>
      </c>
      <c r="F36" s="16" t="str">
        <f t="shared" ref="F36:F45" si="2">IF(E36&gt;=3,"None",IF(E36&gt;=2,"Partial","Major"))</f>
        <v>None</v>
      </c>
      <c r="G36" s="3" t="s">
        <v>86</v>
      </c>
      <c r="H36" s="26" t="s">
        <v>87</v>
      </c>
      <c r="I36" s="27"/>
      <c r="J36" s="27"/>
      <c r="K36" s="27"/>
      <c r="L36" s="27"/>
      <c r="M36" s="27"/>
      <c r="N36" s="27"/>
    </row>
    <row r="37" spans="2:14" ht="42" customHeight="1" x14ac:dyDescent="0.25">
      <c r="B37" s="13" t="s">
        <v>88</v>
      </c>
      <c r="C37" s="2" t="s">
        <v>89</v>
      </c>
      <c r="D37" s="3" t="s">
        <v>90</v>
      </c>
      <c r="E37" s="5">
        <v>1</v>
      </c>
      <c r="F37" s="16" t="str">
        <f t="shared" si="2"/>
        <v>Major</v>
      </c>
      <c r="G37" s="3" t="s">
        <v>91</v>
      </c>
      <c r="H37" s="26" t="s">
        <v>92</v>
      </c>
      <c r="I37" s="27"/>
      <c r="J37" s="27"/>
      <c r="K37" s="27"/>
      <c r="L37" s="27"/>
      <c r="M37" s="27"/>
      <c r="N37" s="27"/>
    </row>
    <row r="38" spans="2:14" ht="42" customHeight="1" x14ac:dyDescent="0.25">
      <c r="B38" s="13" t="s">
        <v>93</v>
      </c>
      <c r="C38" s="2" t="s">
        <v>94</v>
      </c>
      <c r="D38" s="3" t="s">
        <v>95</v>
      </c>
      <c r="E38" s="5">
        <v>1</v>
      </c>
      <c r="F38" s="16" t="str">
        <f t="shared" si="2"/>
        <v>Major</v>
      </c>
      <c r="G38" s="3" t="s">
        <v>96</v>
      </c>
      <c r="H38" s="26" t="s">
        <v>97</v>
      </c>
      <c r="I38" s="27"/>
      <c r="J38" s="27"/>
      <c r="K38" s="27"/>
      <c r="L38" s="27"/>
      <c r="M38" s="27"/>
      <c r="N38" s="27"/>
    </row>
    <row r="39" spans="2:14" ht="42" customHeight="1" x14ac:dyDescent="0.25">
      <c r="B39" s="13" t="s">
        <v>98</v>
      </c>
      <c r="C39" s="2" t="s">
        <v>99</v>
      </c>
      <c r="D39" s="3" t="s">
        <v>100</v>
      </c>
      <c r="E39" s="5">
        <v>3</v>
      </c>
      <c r="F39" s="16" t="str">
        <f t="shared" si="2"/>
        <v>None</v>
      </c>
      <c r="G39" s="3" t="s">
        <v>86</v>
      </c>
      <c r="H39" s="26" t="s">
        <v>101</v>
      </c>
      <c r="I39" s="27"/>
      <c r="J39" s="27"/>
      <c r="K39" s="27"/>
      <c r="L39" s="27"/>
      <c r="M39" s="27"/>
      <c r="N39" s="27"/>
    </row>
    <row r="40" spans="2:14" ht="42" customHeight="1" x14ac:dyDescent="0.25">
      <c r="B40" s="13" t="s">
        <v>102</v>
      </c>
      <c r="C40" s="2" t="s">
        <v>103</v>
      </c>
      <c r="D40" s="3" t="s">
        <v>104</v>
      </c>
      <c r="E40" s="5">
        <v>2</v>
      </c>
      <c r="F40" s="16" t="str">
        <f t="shared" si="2"/>
        <v>Partial</v>
      </c>
      <c r="G40" s="3" t="s">
        <v>105</v>
      </c>
      <c r="H40" s="26" t="s">
        <v>106</v>
      </c>
      <c r="I40" s="27"/>
      <c r="J40" s="27"/>
      <c r="K40" s="27"/>
      <c r="L40" s="27"/>
      <c r="M40" s="27"/>
      <c r="N40" s="27"/>
    </row>
    <row r="41" spans="2:14" ht="42" customHeight="1" x14ac:dyDescent="0.25">
      <c r="B41" s="13" t="s">
        <v>107</v>
      </c>
      <c r="C41" s="2" t="s">
        <v>108</v>
      </c>
      <c r="D41" s="3" t="s">
        <v>109</v>
      </c>
      <c r="E41" s="5">
        <v>0</v>
      </c>
      <c r="F41" s="16" t="str">
        <f t="shared" si="2"/>
        <v>Major</v>
      </c>
      <c r="G41" s="3" t="s">
        <v>110</v>
      </c>
      <c r="H41" s="26" t="s">
        <v>111</v>
      </c>
      <c r="I41" s="27"/>
      <c r="J41" s="27"/>
      <c r="K41" s="27"/>
      <c r="L41" s="27"/>
      <c r="M41" s="27"/>
      <c r="N41" s="27"/>
    </row>
    <row r="42" spans="2:14" ht="42" customHeight="1" x14ac:dyDescent="0.25">
      <c r="B42" s="13" t="s">
        <v>112</v>
      </c>
      <c r="C42" s="2" t="s">
        <v>113</v>
      </c>
      <c r="D42" s="3" t="s">
        <v>114</v>
      </c>
      <c r="E42" s="5">
        <v>0</v>
      </c>
      <c r="F42" s="16" t="str">
        <f t="shared" si="2"/>
        <v>Major</v>
      </c>
      <c r="G42" s="3" t="s">
        <v>115</v>
      </c>
      <c r="H42" s="26" t="s">
        <v>116</v>
      </c>
      <c r="I42" s="27"/>
      <c r="J42" s="27"/>
      <c r="K42" s="27"/>
      <c r="L42" s="27"/>
      <c r="M42" s="27"/>
      <c r="N42" s="27"/>
    </row>
    <row r="43" spans="2:14" ht="42" customHeight="1" x14ac:dyDescent="0.25">
      <c r="B43" s="13" t="s">
        <v>117</v>
      </c>
      <c r="C43" s="2" t="s">
        <v>118</v>
      </c>
      <c r="D43" s="3" t="s">
        <v>119</v>
      </c>
      <c r="E43" s="5">
        <v>1</v>
      </c>
      <c r="F43" s="16" t="str">
        <f t="shared" si="2"/>
        <v>Major</v>
      </c>
      <c r="G43" s="3" t="s">
        <v>120</v>
      </c>
      <c r="H43" s="26" t="s">
        <v>121</v>
      </c>
      <c r="I43" s="27"/>
      <c r="J43" s="27"/>
      <c r="K43" s="27"/>
      <c r="L43" s="27"/>
      <c r="M43" s="27"/>
      <c r="N43" s="27"/>
    </row>
    <row r="44" spans="2:14" ht="42" customHeight="1" x14ac:dyDescent="0.25">
      <c r="B44" s="13" t="s">
        <v>122</v>
      </c>
      <c r="C44" s="2" t="s">
        <v>123</v>
      </c>
      <c r="D44" s="3" t="s">
        <v>124</v>
      </c>
      <c r="E44" s="5">
        <v>1</v>
      </c>
      <c r="F44" s="16" t="str">
        <f t="shared" si="2"/>
        <v>Major</v>
      </c>
      <c r="G44" s="3" t="s">
        <v>125</v>
      </c>
      <c r="H44" s="26" t="s">
        <v>126</v>
      </c>
      <c r="I44" s="27"/>
      <c r="J44" s="27"/>
      <c r="K44" s="27"/>
      <c r="L44" s="27"/>
      <c r="M44" s="27"/>
      <c r="N44" s="27"/>
    </row>
    <row r="45" spans="2:14" ht="42" customHeight="1" x14ac:dyDescent="0.25">
      <c r="B45" s="13" t="s">
        <v>127</v>
      </c>
      <c r="C45" s="2" t="s">
        <v>128</v>
      </c>
      <c r="D45" s="3" t="s">
        <v>129</v>
      </c>
      <c r="E45" s="5">
        <v>1</v>
      </c>
      <c r="F45" s="16" t="str">
        <f t="shared" si="2"/>
        <v>Major</v>
      </c>
      <c r="G45" s="3" t="s">
        <v>130</v>
      </c>
      <c r="H45" s="26" t="s">
        <v>131</v>
      </c>
      <c r="I45" s="27"/>
      <c r="J45" s="27"/>
      <c r="K45" s="27"/>
      <c r="L45" s="27"/>
      <c r="M45" s="27"/>
      <c r="N45" s="27"/>
    </row>
    <row r="46" spans="2:14" ht="51.75" customHeight="1" x14ac:dyDescent="0.25">
      <c r="C46" s="17" t="s">
        <v>132</v>
      </c>
      <c r="E46" s="22">
        <f>AVERAGE(E36:E45)/3</f>
        <v>0.43333333333333335</v>
      </c>
      <c r="F46" s="19" t="s">
        <v>133</v>
      </c>
      <c r="G46" s="23" t="str">
        <f>IF(E46&gt;=0.8,"Solo viable",IF(E46&gt;=0.5,"Consortium required","Major partner-build needed"))</f>
        <v>Major partner-build needed</v>
      </c>
      <c r="H46" s="41" t="s">
        <v>134</v>
      </c>
      <c r="I46" s="27"/>
      <c r="J46" s="27"/>
      <c r="K46" s="27"/>
      <c r="L46" s="27"/>
      <c r="M46" s="27"/>
      <c r="N46" s="27"/>
    </row>
    <row r="48" spans="2:14" ht="21.75" customHeight="1" x14ac:dyDescent="0.25">
      <c r="B48" s="31" t="s">
        <v>135</v>
      </c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</row>
    <row r="49" spans="2:14" ht="37.5" customHeight="1" x14ac:dyDescent="0.25">
      <c r="B49" s="12" t="s">
        <v>26</v>
      </c>
      <c r="C49" s="12" t="s">
        <v>136</v>
      </c>
      <c r="D49" s="12" t="s">
        <v>137</v>
      </c>
      <c r="E49" s="12" t="s">
        <v>138</v>
      </c>
      <c r="F49" s="12" t="s">
        <v>139</v>
      </c>
      <c r="G49" s="12" t="s">
        <v>140</v>
      </c>
      <c r="H49" s="12" t="s">
        <v>141</v>
      </c>
      <c r="I49" s="12" t="s">
        <v>142</v>
      </c>
      <c r="J49" s="12" t="s">
        <v>143</v>
      </c>
      <c r="K49" s="12" t="s">
        <v>144</v>
      </c>
      <c r="L49" s="12" t="s">
        <v>145</v>
      </c>
      <c r="M49" s="12" t="s">
        <v>146</v>
      </c>
    </row>
    <row r="50" spans="2:14" ht="45.75" customHeight="1" x14ac:dyDescent="0.25">
      <c r="B50" s="13" t="s">
        <v>147</v>
      </c>
      <c r="C50" s="2" t="s">
        <v>91</v>
      </c>
      <c r="D50" s="3" t="s">
        <v>148</v>
      </c>
      <c r="E50" s="3" t="s">
        <v>149</v>
      </c>
      <c r="F50" s="5">
        <v>5</v>
      </c>
      <c r="G50" s="5">
        <v>3</v>
      </c>
      <c r="H50" s="5">
        <v>1</v>
      </c>
      <c r="I50" s="5">
        <v>5</v>
      </c>
      <c r="J50" s="24">
        <f t="shared" ref="J50:J59" si="3">AVERAGE(F50:I50)</f>
        <v>3.5</v>
      </c>
      <c r="K50" s="16" t="str">
        <f t="shared" ref="K50:K59" si="4">IF(J50&gt;=4,"Recommend",IF(J50&gt;=3,"Consider","Drop"))</f>
        <v>Consider</v>
      </c>
      <c r="L50" s="3" t="s">
        <v>150</v>
      </c>
      <c r="M50" s="28" t="s">
        <v>151</v>
      </c>
      <c r="N50" s="29"/>
    </row>
    <row r="51" spans="2:14" ht="45.75" customHeight="1" x14ac:dyDescent="0.25">
      <c r="B51" s="13" t="s">
        <v>152</v>
      </c>
      <c r="C51" s="2" t="s">
        <v>153</v>
      </c>
      <c r="D51" s="3" t="s">
        <v>154</v>
      </c>
      <c r="E51" s="3" t="s">
        <v>155</v>
      </c>
      <c r="F51" s="5">
        <v>4</v>
      </c>
      <c r="G51" s="5">
        <v>4</v>
      </c>
      <c r="H51" s="5">
        <v>2</v>
      </c>
      <c r="I51" s="5">
        <v>5</v>
      </c>
      <c r="J51" s="24">
        <f t="shared" si="3"/>
        <v>3.75</v>
      </c>
      <c r="K51" s="16" t="str">
        <f t="shared" si="4"/>
        <v>Consider</v>
      </c>
      <c r="L51" s="3" t="s">
        <v>156</v>
      </c>
      <c r="M51" s="28" t="s">
        <v>157</v>
      </c>
      <c r="N51" s="29"/>
    </row>
    <row r="52" spans="2:14" ht="45.75" customHeight="1" x14ac:dyDescent="0.25">
      <c r="B52" s="13" t="s">
        <v>158</v>
      </c>
      <c r="C52" s="2" t="s">
        <v>110</v>
      </c>
      <c r="D52" s="3" t="s">
        <v>159</v>
      </c>
      <c r="E52" s="3" t="s">
        <v>160</v>
      </c>
      <c r="F52" s="5">
        <v>5</v>
      </c>
      <c r="G52" s="5">
        <v>3</v>
      </c>
      <c r="H52" s="5">
        <v>1</v>
      </c>
      <c r="I52" s="5">
        <v>5</v>
      </c>
      <c r="J52" s="24">
        <f t="shared" si="3"/>
        <v>3.5</v>
      </c>
      <c r="K52" s="16" t="str">
        <f t="shared" si="4"/>
        <v>Consider</v>
      </c>
      <c r="L52" s="3" t="s">
        <v>161</v>
      </c>
      <c r="M52" s="28" t="s">
        <v>162</v>
      </c>
      <c r="N52" s="29"/>
    </row>
    <row r="53" spans="2:14" ht="45.75" customHeight="1" x14ac:dyDescent="0.25">
      <c r="B53" s="13" t="s">
        <v>163</v>
      </c>
      <c r="C53" s="2" t="s">
        <v>164</v>
      </c>
      <c r="D53" s="3" t="s">
        <v>165</v>
      </c>
      <c r="E53" s="3" t="s">
        <v>166</v>
      </c>
      <c r="F53" s="5">
        <v>4</v>
      </c>
      <c r="G53" s="5">
        <v>4</v>
      </c>
      <c r="H53" s="5">
        <v>2</v>
      </c>
      <c r="I53" s="5">
        <v>5</v>
      </c>
      <c r="J53" s="24">
        <f t="shared" si="3"/>
        <v>3.75</v>
      </c>
      <c r="K53" s="16" t="str">
        <f t="shared" si="4"/>
        <v>Consider</v>
      </c>
      <c r="L53" s="3" t="s">
        <v>167</v>
      </c>
      <c r="M53" s="28" t="s">
        <v>168</v>
      </c>
      <c r="N53" s="29"/>
    </row>
    <row r="54" spans="2:14" ht="45.75" customHeight="1" x14ac:dyDescent="0.25">
      <c r="B54" s="13" t="s">
        <v>169</v>
      </c>
      <c r="C54" s="2" t="s">
        <v>170</v>
      </c>
      <c r="D54" s="3" t="s">
        <v>171</v>
      </c>
      <c r="E54" s="3" t="s">
        <v>172</v>
      </c>
      <c r="F54" s="5">
        <v>4</v>
      </c>
      <c r="G54" s="5">
        <v>4</v>
      </c>
      <c r="H54" s="5">
        <v>1</v>
      </c>
      <c r="I54" s="5">
        <v>5</v>
      </c>
      <c r="J54" s="24">
        <f t="shared" si="3"/>
        <v>3.5</v>
      </c>
      <c r="K54" s="16" t="str">
        <f t="shared" si="4"/>
        <v>Consider</v>
      </c>
      <c r="L54" s="3" t="s">
        <v>173</v>
      </c>
      <c r="M54" s="28" t="s">
        <v>174</v>
      </c>
      <c r="N54" s="29"/>
    </row>
    <row r="55" spans="2:14" ht="45.75" customHeight="1" x14ac:dyDescent="0.25">
      <c r="B55" s="13" t="s">
        <v>175</v>
      </c>
      <c r="C55" s="2" t="s">
        <v>176</v>
      </c>
      <c r="D55" s="3" t="s">
        <v>177</v>
      </c>
      <c r="E55" s="3" t="s">
        <v>178</v>
      </c>
      <c r="F55" s="5">
        <v>3</v>
      </c>
      <c r="G55" s="5">
        <v>4</v>
      </c>
      <c r="H55" s="5">
        <v>3</v>
      </c>
      <c r="I55" s="5">
        <v>4</v>
      </c>
      <c r="J55" s="24">
        <f t="shared" si="3"/>
        <v>3.5</v>
      </c>
      <c r="K55" s="16" t="str">
        <f t="shared" si="4"/>
        <v>Consider</v>
      </c>
      <c r="L55" s="3" t="s">
        <v>179</v>
      </c>
      <c r="M55" s="28" t="s">
        <v>180</v>
      </c>
      <c r="N55" s="29"/>
    </row>
    <row r="56" spans="2:14" ht="45.75" customHeight="1" x14ac:dyDescent="0.25">
      <c r="B56" s="13" t="s">
        <v>181</v>
      </c>
      <c r="C56" s="2" t="s">
        <v>182</v>
      </c>
      <c r="D56" s="3" t="s">
        <v>183</v>
      </c>
      <c r="E56" s="3" t="s">
        <v>184</v>
      </c>
      <c r="F56" s="5">
        <v>3</v>
      </c>
      <c r="G56" s="5">
        <v>5</v>
      </c>
      <c r="H56" s="5">
        <v>5</v>
      </c>
      <c r="I56" s="5">
        <v>3</v>
      </c>
      <c r="J56" s="24">
        <f t="shared" si="3"/>
        <v>4</v>
      </c>
      <c r="K56" s="16" t="str">
        <f t="shared" si="4"/>
        <v>Recommend</v>
      </c>
      <c r="L56" s="3" t="s">
        <v>185</v>
      </c>
      <c r="M56" s="28" t="s">
        <v>186</v>
      </c>
      <c r="N56" s="29"/>
    </row>
    <row r="57" spans="2:14" ht="45.75" customHeight="1" x14ac:dyDescent="0.25">
      <c r="B57" s="13" t="s">
        <v>187</v>
      </c>
      <c r="C57" s="2" t="s">
        <v>188</v>
      </c>
      <c r="D57" s="3" t="s">
        <v>189</v>
      </c>
      <c r="E57" s="3" t="s">
        <v>190</v>
      </c>
      <c r="F57" s="5">
        <v>3</v>
      </c>
      <c r="G57" s="5">
        <v>3</v>
      </c>
      <c r="H57" s="5">
        <v>1</v>
      </c>
      <c r="I57" s="5">
        <v>4</v>
      </c>
      <c r="J57" s="24">
        <f t="shared" si="3"/>
        <v>2.75</v>
      </c>
      <c r="K57" s="16" t="str">
        <f t="shared" si="4"/>
        <v>Drop</v>
      </c>
      <c r="L57" s="3" t="s">
        <v>191</v>
      </c>
      <c r="M57" s="28" t="s">
        <v>192</v>
      </c>
      <c r="N57" s="29"/>
    </row>
    <row r="58" spans="2:14" ht="45.75" customHeight="1" x14ac:dyDescent="0.25">
      <c r="B58" s="13" t="s">
        <v>193</v>
      </c>
      <c r="C58" s="2" t="s">
        <v>194</v>
      </c>
      <c r="D58" s="3" t="s">
        <v>195</v>
      </c>
      <c r="E58" s="3" t="s">
        <v>196</v>
      </c>
      <c r="F58" s="5">
        <v>4</v>
      </c>
      <c r="G58" s="5">
        <v>3</v>
      </c>
      <c r="H58" s="5">
        <v>2</v>
      </c>
      <c r="I58" s="5">
        <v>5</v>
      </c>
      <c r="J58" s="24">
        <f t="shared" si="3"/>
        <v>3.5</v>
      </c>
      <c r="K58" s="16" t="str">
        <f t="shared" si="4"/>
        <v>Consider</v>
      </c>
      <c r="L58" s="3" t="s">
        <v>197</v>
      </c>
      <c r="M58" s="28" t="s">
        <v>198</v>
      </c>
      <c r="N58" s="29"/>
    </row>
    <row r="59" spans="2:14" ht="45.75" customHeight="1" x14ac:dyDescent="0.25">
      <c r="B59" s="13" t="s">
        <v>199</v>
      </c>
      <c r="C59" s="2" t="s">
        <v>200</v>
      </c>
      <c r="D59" s="3" t="s">
        <v>201</v>
      </c>
      <c r="E59" s="3" t="s">
        <v>202</v>
      </c>
      <c r="F59" s="5">
        <v>3</v>
      </c>
      <c r="G59" s="5">
        <v>3</v>
      </c>
      <c r="H59" s="5">
        <v>2</v>
      </c>
      <c r="I59" s="5">
        <v>4</v>
      </c>
      <c r="J59" s="24">
        <f t="shared" si="3"/>
        <v>3</v>
      </c>
      <c r="K59" s="16" t="str">
        <f t="shared" si="4"/>
        <v>Consider</v>
      </c>
      <c r="L59" s="3" t="s">
        <v>203</v>
      </c>
      <c r="M59" s="28" t="s">
        <v>204</v>
      </c>
      <c r="N59" s="29"/>
    </row>
    <row r="61" spans="2:14" ht="21.75" customHeight="1" x14ac:dyDescent="0.25">
      <c r="B61" s="31" t="s">
        <v>205</v>
      </c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</row>
    <row r="62" spans="2:14" ht="30" customHeight="1" x14ac:dyDescent="0.25">
      <c r="B62" s="12" t="s">
        <v>206</v>
      </c>
      <c r="C62" s="30" t="s">
        <v>207</v>
      </c>
      <c r="D62" s="27"/>
      <c r="E62" s="30" t="s">
        <v>208</v>
      </c>
      <c r="F62" s="27"/>
      <c r="G62" s="27"/>
      <c r="H62" s="27"/>
      <c r="I62" s="30" t="s">
        <v>209</v>
      </c>
      <c r="J62" s="27"/>
      <c r="K62" s="27"/>
      <c r="L62" s="27"/>
      <c r="M62" s="27"/>
      <c r="N62" s="27"/>
    </row>
    <row r="63" spans="2:14" ht="42" customHeight="1" x14ac:dyDescent="0.25">
      <c r="B63" s="2" t="s">
        <v>210</v>
      </c>
      <c r="C63" s="26" t="s">
        <v>211</v>
      </c>
      <c r="D63" s="27"/>
      <c r="E63" s="26" t="s">
        <v>212</v>
      </c>
      <c r="F63" s="27"/>
      <c r="G63" s="27"/>
      <c r="H63" s="27"/>
      <c r="I63" s="26" t="s">
        <v>213</v>
      </c>
      <c r="J63" s="27"/>
      <c r="K63" s="27"/>
      <c r="L63" s="27"/>
      <c r="M63" s="27"/>
      <c r="N63" s="27"/>
    </row>
    <row r="64" spans="2:14" ht="42" customHeight="1" x14ac:dyDescent="0.25">
      <c r="B64" s="2" t="s">
        <v>214</v>
      </c>
      <c r="C64" s="26" t="s">
        <v>91</v>
      </c>
      <c r="D64" s="27"/>
      <c r="E64" s="26" t="s">
        <v>215</v>
      </c>
      <c r="F64" s="27"/>
      <c r="G64" s="27"/>
      <c r="H64" s="27"/>
      <c r="I64" s="26" t="s">
        <v>216</v>
      </c>
      <c r="J64" s="27"/>
      <c r="K64" s="27"/>
      <c r="L64" s="27"/>
      <c r="M64" s="27"/>
      <c r="N64" s="27"/>
    </row>
    <row r="65" spans="2:14" ht="42" customHeight="1" x14ac:dyDescent="0.25">
      <c r="B65" s="2" t="s">
        <v>154</v>
      </c>
      <c r="C65" s="26" t="s">
        <v>153</v>
      </c>
      <c r="D65" s="27"/>
      <c r="E65" s="26" t="s">
        <v>217</v>
      </c>
      <c r="F65" s="27"/>
      <c r="G65" s="27"/>
      <c r="H65" s="27"/>
      <c r="I65" s="26" t="s">
        <v>218</v>
      </c>
      <c r="J65" s="27"/>
      <c r="K65" s="27"/>
      <c r="L65" s="27"/>
      <c r="M65" s="27"/>
      <c r="N65" s="27"/>
    </row>
    <row r="66" spans="2:14" ht="42" customHeight="1" x14ac:dyDescent="0.25">
      <c r="B66" s="2" t="s">
        <v>219</v>
      </c>
      <c r="C66" s="26" t="s">
        <v>220</v>
      </c>
      <c r="D66" s="27"/>
      <c r="E66" s="26" t="s">
        <v>221</v>
      </c>
      <c r="F66" s="27"/>
      <c r="G66" s="27"/>
      <c r="H66" s="27"/>
      <c r="I66" s="26" t="s">
        <v>222</v>
      </c>
      <c r="J66" s="27"/>
      <c r="K66" s="27"/>
      <c r="L66" s="27"/>
      <c r="M66" s="27"/>
      <c r="N66" s="27"/>
    </row>
    <row r="67" spans="2:14" ht="42" customHeight="1" x14ac:dyDescent="0.25">
      <c r="B67" s="2" t="s">
        <v>223</v>
      </c>
      <c r="C67" s="26" t="s">
        <v>115</v>
      </c>
      <c r="D67" s="27"/>
      <c r="E67" s="26" t="s">
        <v>224</v>
      </c>
      <c r="F67" s="27"/>
      <c r="G67" s="27"/>
      <c r="H67" s="27"/>
      <c r="I67" s="26" t="s">
        <v>225</v>
      </c>
      <c r="J67" s="27"/>
      <c r="K67" s="27"/>
      <c r="L67" s="27"/>
      <c r="M67" s="27"/>
      <c r="N67" s="27"/>
    </row>
    <row r="69" spans="2:14" ht="21.75" customHeight="1" x14ac:dyDescent="0.25">
      <c r="B69" s="31" t="s">
        <v>226</v>
      </c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</row>
    <row r="70" spans="2:14" ht="15" customHeight="1" x14ac:dyDescent="0.25">
      <c r="B70" s="34" t="s">
        <v>227</v>
      </c>
      <c r="C70" s="27"/>
      <c r="D70" s="29"/>
      <c r="E70" s="20">
        <f>G32</f>
        <v>3.9200000000000004</v>
      </c>
      <c r="F70" s="1" t="str">
        <f>H32</f>
        <v>PASS</v>
      </c>
    </row>
    <row r="71" spans="2:14" ht="15" customHeight="1" x14ac:dyDescent="0.25">
      <c r="B71" s="34" t="s">
        <v>228</v>
      </c>
      <c r="C71" s="27"/>
      <c r="D71" s="29"/>
      <c r="E71" s="25">
        <f>E46</f>
        <v>0.43333333333333335</v>
      </c>
      <c r="F71" s="33" t="str">
        <f>G46</f>
        <v>Major partner-build needed</v>
      </c>
      <c r="G71" s="27"/>
      <c r="H71" s="29"/>
    </row>
    <row r="72" spans="2:14" ht="15" customHeight="1" x14ac:dyDescent="0.25">
      <c r="B72" s="34" t="s">
        <v>229</v>
      </c>
      <c r="C72" s="27"/>
      <c r="D72" s="29"/>
      <c r="E72" s="21">
        <f>COUNTIF(K50:K59,"Recommend")</f>
        <v>1</v>
      </c>
    </row>
    <row r="74" spans="2:14" ht="31.5" customHeight="1" x14ac:dyDescent="0.25">
      <c r="B74" s="35" t="str">
        <f>IF(G32&gt;=3.5,IF(E46&gt;=0.8,"DECISION:  GO (Solo)  —  CrossBoundary qualifies to prime independently. Bid solo.",IF(E46&gt;=0.5,"DECISION:  GO (Consortium)  —  Bid as CrossBoundary-led consortium per Section E.","DECISION:  GO (Consortium-mandatory)  —  Strong strategic fit; partners are required to close ToR gaps. Lock in Section E partners before kickoff.")),IF(G32&gt;=2.5,"DECISION:  CONDITIONAL GO  —  Strategic fit borderline; resolve scoring concerns before committing.","DECISION:  NO-GO  —  Strategic fit insufficient."))</f>
        <v>DECISION:  GO (Consortium-mandatory)  —  Strong strategic fit; partners are required to close ToR gaps. Lock in Section E partners before kickoff.</v>
      </c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</row>
    <row r="75" spans="2:14" ht="31.5" customHeight="1" x14ac:dyDescent="0.25">
      <c r="B75" s="37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</row>
    <row r="77" spans="2:14" ht="21.75" customHeight="1" x14ac:dyDescent="0.25">
      <c r="B77" s="31" t="s">
        <v>230</v>
      </c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</row>
    <row r="78" spans="2:14" ht="24" customHeight="1" x14ac:dyDescent="0.25">
      <c r="B78" s="26" t="s">
        <v>231</v>
      </c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</row>
    <row r="79" spans="2:14" ht="24" customHeight="1" x14ac:dyDescent="0.25">
      <c r="B79" s="26" t="s">
        <v>232</v>
      </c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</row>
    <row r="80" spans="2:14" ht="24" customHeight="1" x14ac:dyDescent="0.25">
      <c r="B80" s="26" t="s">
        <v>233</v>
      </c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</row>
    <row r="81" spans="2:14" ht="24" customHeight="1" x14ac:dyDescent="0.25">
      <c r="B81" s="26" t="s">
        <v>234</v>
      </c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</row>
    <row r="82" spans="2:14" ht="24" customHeight="1" x14ac:dyDescent="0.25">
      <c r="B82" s="26" t="s">
        <v>235</v>
      </c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</row>
    <row r="83" spans="2:14" ht="24" customHeight="1" x14ac:dyDescent="0.25">
      <c r="B83" s="26" t="s">
        <v>236</v>
      </c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</row>
    <row r="84" spans="2:14" ht="24" customHeight="1" x14ac:dyDescent="0.25">
      <c r="B84" s="26" t="s">
        <v>237</v>
      </c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</row>
    <row r="85" spans="2:14" ht="24" customHeight="1" x14ac:dyDescent="0.25">
      <c r="B85" s="26" t="s">
        <v>238</v>
      </c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</row>
  </sheetData>
  <mergeCells count="73">
    <mergeCell ref="H45:N45"/>
    <mergeCell ref="M50:N50"/>
    <mergeCell ref="M53:N53"/>
    <mergeCell ref="M58:N58"/>
    <mergeCell ref="B81:N81"/>
    <mergeCell ref="I65:N65"/>
    <mergeCell ref="B77:N77"/>
    <mergeCell ref="C66:D66"/>
    <mergeCell ref="E66:H66"/>
    <mergeCell ref="M51:N51"/>
    <mergeCell ref="B48:N48"/>
    <mergeCell ref="H44:N44"/>
    <mergeCell ref="E64:H64"/>
    <mergeCell ref="H40:N40"/>
    <mergeCell ref="H39:N39"/>
    <mergeCell ref="B1:N1"/>
    <mergeCell ref="I26:N26"/>
    <mergeCell ref="D5:N5"/>
    <mergeCell ref="B34:N34"/>
    <mergeCell ref="B3:N3"/>
    <mergeCell ref="I29:N29"/>
    <mergeCell ref="H41:N41"/>
    <mergeCell ref="E63:H63"/>
    <mergeCell ref="H46:N46"/>
    <mergeCell ref="I63:N63"/>
    <mergeCell ref="B20:N20"/>
    <mergeCell ref="I21:N21"/>
    <mergeCell ref="B71:D71"/>
    <mergeCell ref="B85:N85"/>
    <mergeCell ref="I62:N62"/>
    <mergeCell ref="M56:N56"/>
    <mergeCell ref="I67:N67"/>
    <mergeCell ref="B79:N79"/>
    <mergeCell ref="B80:N80"/>
    <mergeCell ref="B72:D72"/>
    <mergeCell ref="B84:N84"/>
    <mergeCell ref="B83:N83"/>
    <mergeCell ref="B74:N75"/>
    <mergeCell ref="B82:N82"/>
    <mergeCell ref="B70:D70"/>
    <mergeCell ref="B78:N78"/>
    <mergeCell ref="H37:N37"/>
    <mergeCell ref="I24:N24"/>
    <mergeCell ref="C65:D65"/>
    <mergeCell ref="C63:D63"/>
    <mergeCell ref="F71:H71"/>
    <mergeCell ref="M54:N54"/>
    <mergeCell ref="B69:N69"/>
    <mergeCell ref="E67:H67"/>
    <mergeCell ref="C62:D62"/>
    <mergeCell ref="M59:N59"/>
    <mergeCell ref="M55:N55"/>
    <mergeCell ref="I66:N66"/>
    <mergeCell ref="I28:N28"/>
    <mergeCell ref="I27:N27"/>
    <mergeCell ref="C67:D67"/>
    <mergeCell ref="E65:H65"/>
    <mergeCell ref="I31:N31"/>
    <mergeCell ref="I23:N23"/>
    <mergeCell ref="I22:N22"/>
    <mergeCell ref="M52:N52"/>
    <mergeCell ref="C64:D64"/>
    <mergeCell ref="H42:N42"/>
    <mergeCell ref="H35:N35"/>
    <mergeCell ref="E62:H62"/>
    <mergeCell ref="I64:N64"/>
    <mergeCell ref="H43:N43"/>
    <mergeCell ref="H38:N38"/>
    <mergeCell ref="I30:N30"/>
    <mergeCell ref="M57:N57"/>
    <mergeCell ref="H36:N36"/>
    <mergeCell ref="B61:N61"/>
    <mergeCell ref="I25:N25"/>
  </mergeCells>
  <conditionalFormatting sqref="B74">
    <cfRule type="expression" dxfId="17" priority="98">
      <formula>ISNUMBER(SEARCH("DECISION:  GO",B74))</formula>
    </cfRule>
    <cfRule type="expression" dxfId="16" priority="99">
      <formula>ISNUMBER(SEARCH("CONDITIONAL GO",B74))</formula>
    </cfRule>
    <cfRule type="expression" dxfId="15" priority="100">
      <formula>ISNUMBER(SEARCH("NO-GO",B74))</formula>
    </cfRule>
  </conditionalFormatting>
  <conditionalFormatting sqref="F22:F31">
    <cfRule type="cellIs" dxfId="14" priority="5" operator="lessThanOrEqual">
      <formula>2</formula>
    </cfRule>
    <cfRule type="cellIs" dxfId="13" priority="6" operator="greaterThanOrEqual">
      <formula>4</formula>
    </cfRule>
    <cfRule type="cellIs" dxfId="12" priority="7" operator="equal">
      <formula>3</formula>
    </cfRule>
  </conditionalFormatting>
  <conditionalFormatting sqref="F36:F45">
    <cfRule type="cellIs" dxfId="11" priority="35" operator="equal">
      <formula>"None"</formula>
    </cfRule>
    <cfRule type="cellIs" dxfId="10" priority="36" operator="equal">
      <formula>"Partial"</formula>
    </cfRule>
    <cfRule type="cellIs" dxfId="9" priority="37" operator="equal">
      <formula>"Major"</formula>
    </cfRule>
  </conditionalFormatting>
  <conditionalFormatting sqref="F70">
    <cfRule type="cellIs" dxfId="8" priority="95" operator="equal">
      <formula>"PASS"</formula>
    </cfRule>
    <cfRule type="cellIs" dxfId="7" priority="96" operator="equal">
      <formula>"BORDERLINE"</formula>
    </cfRule>
    <cfRule type="cellIs" dxfId="6" priority="97" operator="equal">
      <formula>"FAIL"</formula>
    </cfRule>
  </conditionalFormatting>
  <conditionalFormatting sqref="H32">
    <cfRule type="cellIs" dxfId="5" priority="2" operator="equal">
      <formula>"PASS"</formula>
    </cfRule>
    <cfRule type="cellIs" dxfId="4" priority="3" operator="equal">
      <formula>"BORDERLINE"</formula>
    </cfRule>
    <cfRule type="cellIs" dxfId="3" priority="4" operator="equal">
      <formula>"FAIL"</formula>
    </cfRule>
  </conditionalFormatting>
  <conditionalFormatting sqref="K50:K59">
    <cfRule type="cellIs" dxfId="2" priority="65" operator="equal">
      <formula>"Recommend"</formula>
    </cfRule>
    <cfRule type="cellIs" dxfId="1" priority="66" operator="equal">
      <formula>"Consider"</formula>
    </cfRule>
    <cfRule type="cellIs" dxfId="0" priority="67" operator="equal">
      <formula>"Drop"</formula>
    </cfRule>
  </conditionalFormatting>
  <printOptions horizontalCentered="1"/>
  <pageMargins left="0.75" right="0.75" top="1" bottom="1" header="0.511811023622047" footer="0.511811023622047"/>
  <pageSetup paperSize="3" fitToHeight="0" orientation="landscape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230b8f-b2ad-47a2-ba95-8157670cd84d">
      <Terms xmlns="http://schemas.microsoft.com/office/infopath/2007/PartnerControls"/>
    </lcf76f155ced4ddcb4097134ff3c332f>
    <TaxCatchAll xmlns="4ca824a9-2820-471a-9d69-9913b0dec3a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6A92212B431A499DA11B04F781B38A" ma:contentTypeVersion="15" ma:contentTypeDescription="Create a new document." ma:contentTypeScope="" ma:versionID="c0efd9ee71e0da3a878b6095a3b5de70">
  <xsd:schema xmlns:xsd="http://www.w3.org/2001/XMLSchema" xmlns:xs="http://www.w3.org/2001/XMLSchema" xmlns:p="http://schemas.microsoft.com/office/2006/metadata/properties" xmlns:ns2="91230b8f-b2ad-47a2-ba95-8157670cd84d" xmlns:ns3="4ca824a9-2820-471a-9d69-9913b0dec3a8" targetNamespace="http://schemas.microsoft.com/office/2006/metadata/properties" ma:root="true" ma:fieldsID="093c369cf04216a5e86b2c06084c6bbe" ns2:_="" ns3:_="">
    <xsd:import namespace="91230b8f-b2ad-47a2-ba95-8157670cd84d"/>
    <xsd:import namespace="4ca824a9-2820-471a-9d69-9913b0dec3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230b8f-b2ad-47a2-ba95-8157670cd8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39735ee-8048-42fd-bbc4-124d23f602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a824a9-2820-471a-9d69-9913b0dec3a8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9515134c-c222-474f-924c-0fe787553d4c}" ma:internalName="TaxCatchAll" ma:showField="CatchAllData" ma:web="4ca824a9-2820-471a-9d69-9913b0dec3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121AE5-453A-4FB2-AF61-CEEF58C24B29}">
  <ds:schemaRefs>
    <ds:schemaRef ds:uri="http://schemas.microsoft.com/office/2006/metadata/properties"/>
    <ds:schemaRef ds:uri="http://schemas.microsoft.com/office/infopath/2007/PartnerControls"/>
    <ds:schemaRef ds:uri="91230b8f-b2ad-47a2-ba95-8157670cd84d"/>
    <ds:schemaRef ds:uri="4ca824a9-2820-471a-9d69-9913b0dec3a8"/>
  </ds:schemaRefs>
</ds:datastoreItem>
</file>

<file path=customXml/itemProps2.xml><?xml version="1.0" encoding="utf-8"?>
<ds:datastoreItem xmlns:ds="http://schemas.openxmlformats.org/officeDocument/2006/customXml" ds:itemID="{5B41247E-0A73-479C-A6FE-52F717DB65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E73EF6-0B40-49D4-B4B7-5B75DF7FA7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230b8f-b2ad-47a2-ba95-8157670cd84d"/>
    <ds:schemaRef ds:uri="4ca824a9-2820-471a-9d69-9913b0dec3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Go-NoGo Scorecard</vt:lpstr>
      <vt:lpstr>'Go-NoGo Scorecard'!Print_Titles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Author</cp:lastModifiedBy>
  <cp:revision>0</cp:revision>
  <dcterms:created xsi:type="dcterms:W3CDTF">2026-05-19T21:16:50Z</dcterms:created>
  <dcterms:modified xsi:type="dcterms:W3CDTF">2026-09-23T12:17:14Z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0x010100EA6A92212B431A499DA11B04F781B38A</vt:lpwstr>
  </property>
  <property fmtid="{D5CDD505-2E9C-101B-9397-08002B2CF9AE}" pid="3" name="MediaServiceImageTags">
    <vt:lpwstr/>
  </property>
</Properties>
</file>